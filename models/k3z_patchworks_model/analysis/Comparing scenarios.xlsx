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d01.stu\Documents\FRST 558 Landscape-level\Capstone Proj\"/>
    </mc:Choice>
  </mc:AlternateContent>
  <xr:revisionPtr revIDLastSave="0" documentId="13_ncr:1_{D9732D83-2B3E-4D6C-B164-24AEA2C1456D}" xr6:coauthVersionLast="47" xr6:coauthVersionMax="47" xr10:uidLastSave="{00000000-0000-0000-0000-000000000000}"/>
  <bookViews>
    <workbookView xWindow="28680" yWindow="-6015" windowWidth="29040" windowHeight="15720" activeTab="3" xr2:uid="{7F76679F-FE6A-49B6-994A-FB37C4CF7FB2}"/>
  </bookViews>
  <sheets>
    <sheet name="QMD" sheetId="2" r:id="rId1"/>
    <sheet name="Log Grades Dist." sheetId="1" r:id="rId2"/>
    <sheet name="Vol. per Ha" sheetId="3" r:id="rId3"/>
    <sheet name="Log Val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4" i="4"/>
  <c r="B4" i="4"/>
  <c r="B12" i="4"/>
  <c r="B6" i="3"/>
  <c r="D8" i="4"/>
  <c r="C8" i="4"/>
  <c r="D4" i="4"/>
  <c r="D13" i="4"/>
  <c r="C13" i="4"/>
  <c r="D12" i="4"/>
  <c r="C12" i="4"/>
  <c r="C7" i="3"/>
  <c r="D7" i="3"/>
  <c r="C6" i="3"/>
  <c r="D6" i="3"/>
  <c r="N9" i="1"/>
  <c r="O9" i="1"/>
  <c r="P9" i="1"/>
  <c r="D6" i="1" s="1"/>
  <c r="C3" i="1"/>
  <c r="C7" i="1"/>
  <c r="B4" i="1"/>
  <c r="D5" i="1" l="1"/>
  <c r="D4" i="1"/>
  <c r="C6" i="1"/>
  <c r="C4" i="1"/>
  <c r="C12" i="1" s="1"/>
  <c r="D3" i="1"/>
  <c r="D7" i="1"/>
  <c r="B3" i="1"/>
  <c r="B12" i="1" s="1"/>
  <c r="B7" i="1"/>
  <c r="B6" i="1"/>
  <c r="B5" i="1"/>
  <c r="C13" i="1" l="1"/>
  <c r="D13" i="1"/>
  <c r="B13" i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boyd01.stu</author>
  </authors>
  <commentList>
    <comment ref="B12" authorId="0" shapeId="0" xr:uid="{DFFC2B9A-19C4-477B-95FD-B01C62289585}">
      <text>
        <r>
          <rPr>
            <b/>
            <sz val="9"/>
            <color indexed="81"/>
            <rFont val="Tahoma"/>
            <charset val="1"/>
          </rPr>
          <t>boyd01.stu:</t>
        </r>
        <r>
          <rPr>
            <sz val="9"/>
            <color indexed="81"/>
            <rFont val="Tahoma"/>
            <charset val="1"/>
          </rPr>
          <t xml:space="preserve">
These prices felt low so I was referencing them with real market log prices below.</t>
        </r>
      </text>
    </comment>
  </commentList>
</comments>
</file>

<file path=xl/sharedStrings.xml><?xml version="1.0" encoding="utf-8"?>
<sst xmlns="http://schemas.openxmlformats.org/spreadsheetml/2006/main" count="96" uniqueCount="68">
  <si>
    <t>scenario_base</t>
  </si>
  <si>
    <t>scenario_l15h5</t>
  </si>
  <si>
    <t>scenario_l20h0</t>
  </si>
  <si>
    <t>Grade I</t>
  </si>
  <si>
    <t>Grade J</t>
  </si>
  <si>
    <t>Grade U</t>
  </si>
  <si>
    <t>Grade X</t>
  </si>
  <si>
    <t>Grade Y</t>
  </si>
  <si>
    <t>Cw + Hw M</t>
  </si>
  <si>
    <t>Fdc + Hw L</t>
  </si>
  <si>
    <t>Fdc + Hw M</t>
  </si>
  <si>
    <t>Fdc + Hw H</t>
  </si>
  <si>
    <t>VOLUME</t>
  </si>
  <si>
    <t>% of Total</t>
  </si>
  <si>
    <t>Total</t>
  </si>
  <si>
    <t>AU</t>
  </si>
  <si>
    <t>Base CC QMD</t>
  </si>
  <si>
    <t>l15h5 CC QMD</t>
  </si>
  <si>
    <t>Change</t>
  </si>
  <si>
    <t>l20h0 CC QMD</t>
  </si>
  <si>
    <t>CWHvm_CW_HW_M</t>
  </si>
  <si>
    <t>CWHvm_FDC_HW_L</t>
  </si>
  <si>
    <t>CWHvm_FDC_HW_M</t>
  </si>
  <si>
    <t>CWHvm_FDC_HW_H</t>
  </si>
  <si>
    <t>Across all four eligible AUs combined, area-weighted CC QMD was:</t>
  </si>
  <si>
    <t>– Base: 27.22 cm</t>
  </si>
  <si>
    <t>– l15h5: 28.30 cm (+1.08 cm)</t>
  </si>
  <si>
    <t>– l20h0: 28.77 cm (+1.55 cm)</t>
  </si>
  <si>
    <t>Grade</t>
  </si>
  <si>
    <t>I</t>
  </si>
  <si>
    <t>J</t>
  </si>
  <si>
    <t>U</t>
  </si>
  <si>
    <t>X</t>
  </si>
  <si>
    <t>Y</t>
  </si>
  <si>
    <t>So there is a slight shift toward better grades in the final CC harvest, but it is small.</t>
  </si>
  <si>
    <t>I + J</t>
  </si>
  <si>
    <t>U + X + Y</t>
  </si>
  <si>
    <t>Metric</t>
  </si>
  <si>
    <t>CC Volume</t>
  </si>
  <si>
    <t>CT Volume</t>
  </si>
  <si>
    <t>CC Area</t>
  </si>
  <si>
    <t>CT Area</t>
  </si>
  <si>
    <t>CC Volume/ha</t>
  </si>
  <si>
    <t>CT Volume/ha</t>
  </si>
  <si>
    <t>&lt;- this shows an avg of 2.1 ha per year</t>
  </si>
  <si>
    <t>&lt;- this is total cc volume NOT total CC log grade volume</t>
  </si>
  <si>
    <t>Change from base</t>
  </si>
  <si>
    <t>—</t>
  </si>
  <si>
    <t>I + J Log Grade Volume</t>
  </si>
  <si>
    <t>Total CC Area</t>
  </si>
  <si>
    <t>I + J Volume/ha</t>
  </si>
  <si>
    <t>Total CC revenue</t>
  </si>
  <si>
    <t xml:space="preserve">Total CC area </t>
  </si>
  <si>
    <t>CC revenue/ha</t>
  </si>
  <si>
    <t>Total CT revenue</t>
  </si>
  <si>
    <t>Total CT area</t>
  </si>
  <si>
    <t>CT revenue/ha</t>
  </si>
  <si>
    <t>CC revenue/m3</t>
  </si>
  <si>
    <t>CT revenue/m3</t>
  </si>
  <si>
    <t>H: ~$170–$280/m³</t>
  </si>
  <si>
    <t>– I: ~$145–$180/m³</t>
  </si>
  <si>
    <t>– J: ~$75–$110/m³</t>
  </si>
  <si>
    <t>HW market prices</t>
  </si>
  <si>
    <t>FDC market prices</t>
  </si>
  <si>
    <t>H: ~$480–$500/m³</t>
  </si>
  <si>
    <t>– I: ~$420–$460/m³</t>
  </si>
  <si>
    <t>– J: ~$180–$220/m³</t>
  </si>
  <si>
    <t>Example log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</si>
</sst>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2" applyNumberFormat="1" applyFont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Font="1" applyAlignment="1">
      <alignment horizontal="left"/>
    </xf>
    <xf numFmtId="44" fontId="0" fillId="0" borderId="0" xfId="1" applyFont="1" applyAlignment="1">
      <alignment horizontal="right" vertical="center" wrapText="1"/>
    </xf>
    <xf numFmtId="44" fontId="0" fillId="0" borderId="0" xfId="0" applyNumberFormat="1"/>
    <xf numFmtId="44" fontId="0" fillId="2" borderId="0" xfId="1" applyFont="1" applyFill="1"/>
    <xf numFmtId="44" fontId="0" fillId="2" borderId="0" xfId="0" applyNumberFormat="1" applyFill="1"/>
    <xf numFmtId="4" fontId="0" fillId="0" borderId="0" xfId="0" applyNumberFormat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in QMD in Target AUs (80-300)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QMD!$V$1</c:f>
              <c:strCache>
                <c:ptCount val="1"/>
                <c:pt idx="0">
                  <c:v>scenario_base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QMD!$U$2:$U$5</c:f>
              <c:strCache>
                <c:ptCount val="4"/>
                <c:pt idx="0">
                  <c:v>Cw + Hw M</c:v>
                </c:pt>
                <c:pt idx="1">
                  <c:v>Fdc + Hw L</c:v>
                </c:pt>
                <c:pt idx="2">
                  <c:v>Fdc + Hw M</c:v>
                </c:pt>
                <c:pt idx="3">
                  <c:v>Fdc + Hw H</c:v>
                </c:pt>
              </c:strCache>
            </c:strRef>
          </c:cat>
          <c:val>
            <c:numRef>
              <c:f>QMD!$V$2:$V$5</c:f>
              <c:numCache>
                <c:formatCode>General</c:formatCode>
                <c:ptCount val="4"/>
                <c:pt idx="0">
                  <c:v>24.154111109999999</c:v>
                </c:pt>
                <c:pt idx="1">
                  <c:v>24.488666670000001</c:v>
                </c:pt>
                <c:pt idx="2">
                  <c:v>28.090944440000001</c:v>
                </c:pt>
                <c:pt idx="3">
                  <c:v>28.056222219999999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6-40E9-B48D-096EFEF31F94}"/>
            </c:ext>
          </c:extLst>
        </c:ser>
        <c:ser>
          <c:idx val="1"/>
          <c:order val="1"/>
          <c:tx>
            <c:strRef>
              <c:f>QMD!$W$1</c:f>
              <c:strCache>
                <c:ptCount val="1"/>
                <c:pt idx="0">
                  <c:v>scenario_l15h5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QMD!$U$2:$U$5</c:f>
              <c:strCache>
                <c:ptCount val="4"/>
                <c:pt idx="0">
                  <c:v>Cw + Hw M</c:v>
                </c:pt>
                <c:pt idx="1">
                  <c:v>Fdc + Hw L</c:v>
                </c:pt>
                <c:pt idx="2">
                  <c:v>Fdc + Hw M</c:v>
                </c:pt>
                <c:pt idx="3">
                  <c:v>Fdc + Hw H</c:v>
                </c:pt>
              </c:strCache>
            </c:strRef>
          </c:cat>
          <c:val>
            <c:numRef>
              <c:f>QMD!$W$2:$W$5</c:f>
              <c:numCache>
                <c:formatCode>General</c:formatCode>
                <c:ptCount val="4"/>
                <c:pt idx="0">
                  <c:v>25.1112</c:v>
                </c:pt>
                <c:pt idx="1">
                  <c:v>26.41155556</c:v>
                </c:pt>
                <c:pt idx="2">
                  <c:v>29.928611109999999</c:v>
                </c:pt>
                <c:pt idx="3">
                  <c:v>29.153600000000001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6-40E9-B48D-096EFEF31F94}"/>
            </c:ext>
          </c:extLst>
        </c:ser>
        <c:ser>
          <c:idx val="2"/>
          <c:order val="2"/>
          <c:tx>
            <c:strRef>
              <c:f>QMD!$X$1</c:f>
              <c:strCache>
                <c:ptCount val="1"/>
                <c:pt idx="0">
                  <c:v>scenario_l20h0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QMD!$U$2:$U$5</c:f>
              <c:strCache>
                <c:ptCount val="4"/>
                <c:pt idx="0">
                  <c:v>Cw + Hw M</c:v>
                </c:pt>
                <c:pt idx="1">
                  <c:v>Fdc + Hw L</c:v>
                </c:pt>
                <c:pt idx="2">
                  <c:v>Fdc + Hw M</c:v>
                </c:pt>
                <c:pt idx="3">
                  <c:v>Fdc + Hw H</c:v>
                </c:pt>
              </c:strCache>
            </c:strRef>
          </c:cat>
          <c:val>
            <c:numRef>
              <c:f>QMD!$X$2:$X$5</c:f>
              <c:numCache>
                <c:formatCode>General</c:formatCode>
                <c:ptCount val="4"/>
                <c:pt idx="0">
                  <c:v>25.708923080000002</c:v>
                </c:pt>
                <c:pt idx="1">
                  <c:v>27.272923080000002</c:v>
                </c:pt>
                <c:pt idx="2">
                  <c:v>29.608599999999999</c:v>
                </c:pt>
                <c:pt idx="3">
                  <c:v>30.236999999999998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6-40E9-B48D-096EFEF31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552768"/>
        <c:axId val="1949555168"/>
      </c:lineChart>
      <c:catAx>
        <c:axId val="19495527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55168"/>
        <c:crosses val="autoZero"/>
        <c:auto val="1"/>
        <c:lblAlgn val="ctr"/>
        <c:lblOffset val="100"/>
        <c:noMultiLvlLbl val="0"/>
      </c:catAx>
      <c:valAx>
        <c:axId val="1949555168"/>
        <c:scaling>
          <c:orientation val="minMax"/>
          <c:max val="31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5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in QMD in Target AUs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QMD!$B$1</c:f>
              <c:strCache>
                <c:ptCount val="1"/>
                <c:pt idx="0">
                  <c:v>Base CC QMD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QMD!$A$2:$A$5</c:f>
              <c:strCache>
                <c:ptCount val="4"/>
                <c:pt idx="0">
                  <c:v>CWHvm_CW_HW_M</c:v>
                </c:pt>
                <c:pt idx="1">
                  <c:v>CWHvm_FDC_HW_L</c:v>
                </c:pt>
                <c:pt idx="2">
                  <c:v>CWHvm_FDC_HW_M</c:v>
                </c:pt>
                <c:pt idx="3">
                  <c:v>CWHvm_FDC_HW_H</c:v>
                </c:pt>
              </c:strCache>
            </c:strRef>
          </c:cat>
          <c:val>
            <c:numRef>
              <c:f>QMD!$B$2:$B$5</c:f>
              <c:numCache>
                <c:formatCode>General</c:formatCode>
                <c:ptCount val="4"/>
                <c:pt idx="0">
                  <c:v>23.75</c:v>
                </c:pt>
                <c:pt idx="1">
                  <c:v>24.62</c:v>
                </c:pt>
                <c:pt idx="2">
                  <c:v>28.39</c:v>
                </c:pt>
                <c:pt idx="3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6-4CFC-8117-D89E29DA76F4}"/>
            </c:ext>
          </c:extLst>
        </c:ser>
        <c:ser>
          <c:idx val="1"/>
          <c:order val="1"/>
          <c:tx>
            <c:strRef>
              <c:f>QMD!$C$1</c:f>
              <c:strCache>
                <c:ptCount val="1"/>
                <c:pt idx="0">
                  <c:v>l15h5 CC QMD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QMD!$A$2:$A$5</c:f>
              <c:strCache>
                <c:ptCount val="4"/>
                <c:pt idx="0">
                  <c:v>CWHvm_CW_HW_M</c:v>
                </c:pt>
                <c:pt idx="1">
                  <c:v>CWHvm_FDC_HW_L</c:v>
                </c:pt>
                <c:pt idx="2">
                  <c:v>CWHvm_FDC_HW_M</c:v>
                </c:pt>
                <c:pt idx="3">
                  <c:v>CWHvm_FDC_HW_H</c:v>
                </c:pt>
              </c:strCache>
            </c:strRef>
          </c:cat>
          <c:val>
            <c:numRef>
              <c:f>QMD!$C$2:$C$5</c:f>
              <c:numCache>
                <c:formatCode>General</c:formatCode>
                <c:ptCount val="4"/>
                <c:pt idx="0">
                  <c:v>24.68</c:v>
                </c:pt>
                <c:pt idx="1">
                  <c:v>26.11</c:v>
                </c:pt>
                <c:pt idx="2">
                  <c:v>29.53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6-4CFC-8117-D89E29DA76F4}"/>
            </c:ext>
          </c:extLst>
        </c:ser>
        <c:ser>
          <c:idx val="3"/>
          <c:order val="2"/>
          <c:tx>
            <c:strRef>
              <c:f>QMD!$E$1</c:f>
              <c:strCache>
                <c:ptCount val="1"/>
                <c:pt idx="0">
                  <c:v>l20h0 CC QMD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QMD!$A$2:$A$5</c:f>
              <c:strCache>
                <c:ptCount val="4"/>
                <c:pt idx="0">
                  <c:v>CWHvm_CW_HW_M</c:v>
                </c:pt>
                <c:pt idx="1">
                  <c:v>CWHvm_FDC_HW_L</c:v>
                </c:pt>
                <c:pt idx="2">
                  <c:v>CWHvm_FDC_HW_M</c:v>
                </c:pt>
                <c:pt idx="3">
                  <c:v>CWHvm_FDC_HW_H</c:v>
                </c:pt>
              </c:strCache>
            </c:strRef>
          </c:cat>
          <c:val>
            <c:numRef>
              <c:f>QMD!$E$2:$E$5</c:f>
              <c:numCache>
                <c:formatCode>General</c:formatCode>
                <c:ptCount val="4"/>
                <c:pt idx="0">
                  <c:v>25.01</c:v>
                </c:pt>
                <c:pt idx="1">
                  <c:v>26.01</c:v>
                </c:pt>
                <c:pt idx="2">
                  <c:v>29.34</c:v>
                </c:pt>
                <c:pt idx="3">
                  <c:v>29.86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76-4CFC-8117-D89E29DA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146048"/>
        <c:axId val="1789147008"/>
      </c:lineChart>
      <c:catAx>
        <c:axId val="17891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47008"/>
        <c:crosses val="autoZero"/>
        <c:auto val="1"/>
        <c:lblAlgn val="ctr"/>
        <c:lblOffset val="100"/>
        <c:noMultiLvlLbl val="0"/>
      </c:catAx>
      <c:valAx>
        <c:axId val="1789147008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VOlume by log grades (80-300)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Grades Dist.'!$U$2</c:f>
              <c:strCache>
                <c:ptCount val="1"/>
                <c:pt idx="0">
                  <c:v>scenario_base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'Log Grades Dist.'!$T$3:$T$4</c:f>
              <c:strCache>
                <c:ptCount val="2"/>
                <c:pt idx="0">
                  <c:v>Grade I</c:v>
                </c:pt>
                <c:pt idx="1">
                  <c:v>Grade J</c:v>
                </c:pt>
              </c:strCache>
            </c:strRef>
          </c:cat>
          <c:val>
            <c:numRef>
              <c:f>'Log Grades Dist.'!$U$3:$U$4</c:f>
              <c:numCache>
                <c:formatCode>General</c:formatCode>
                <c:ptCount val="2"/>
                <c:pt idx="0">
                  <c:v>206158.73149999999</c:v>
                </c:pt>
                <c:pt idx="1">
                  <c:v>269645.38199999998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B-43C8-9253-709E2EDE9718}"/>
            </c:ext>
          </c:extLst>
        </c:ser>
        <c:ser>
          <c:idx val="1"/>
          <c:order val="1"/>
          <c:tx>
            <c:strRef>
              <c:f>'Log Grades Dist.'!$V$2</c:f>
              <c:strCache>
                <c:ptCount val="1"/>
                <c:pt idx="0">
                  <c:v>scenario_l15h5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 Grades Dist.'!$T$3:$T$4</c:f>
              <c:strCache>
                <c:ptCount val="2"/>
                <c:pt idx="0">
                  <c:v>Grade I</c:v>
                </c:pt>
                <c:pt idx="1">
                  <c:v>Grade J</c:v>
                </c:pt>
              </c:strCache>
            </c:strRef>
          </c:cat>
          <c:val>
            <c:numRef>
              <c:f>'Log Grades Dist.'!$V$3:$V$4</c:f>
              <c:numCache>
                <c:formatCode>General</c:formatCode>
                <c:ptCount val="2"/>
                <c:pt idx="0">
                  <c:v>205062.7574</c:v>
                </c:pt>
                <c:pt idx="1">
                  <c:v>249333.89170000001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B-43C8-9253-709E2EDE9718}"/>
            </c:ext>
          </c:extLst>
        </c:ser>
        <c:ser>
          <c:idx val="2"/>
          <c:order val="2"/>
          <c:tx>
            <c:strRef>
              <c:f>'Log Grades Dist.'!$W$2</c:f>
              <c:strCache>
                <c:ptCount val="1"/>
                <c:pt idx="0">
                  <c:v>scenario_l20h0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'Log Grades Dist.'!$T$3:$T$4</c:f>
              <c:strCache>
                <c:ptCount val="2"/>
                <c:pt idx="0">
                  <c:v>Grade I</c:v>
                </c:pt>
                <c:pt idx="1">
                  <c:v>Grade J</c:v>
                </c:pt>
              </c:strCache>
            </c:strRef>
          </c:cat>
          <c:val>
            <c:numRef>
              <c:f>'Log Grades Dist.'!$W$3:$W$4</c:f>
              <c:numCache>
                <c:formatCode>General</c:formatCode>
                <c:ptCount val="2"/>
                <c:pt idx="0">
                  <c:v>195391.1544</c:v>
                </c:pt>
                <c:pt idx="1">
                  <c:v>265466.9645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DB-43C8-9253-709E2EDE9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056784"/>
        <c:axId val="1463057264"/>
      </c:lineChart>
      <c:catAx>
        <c:axId val="14630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57264"/>
        <c:crosses val="autoZero"/>
        <c:auto val="1"/>
        <c:lblAlgn val="ctr"/>
        <c:lblOffset val="100"/>
        <c:noMultiLvlLbl val="0"/>
      </c:catAx>
      <c:valAx>
        <c:axId val="1463057264"/>
        <c:scaling>
          <c:orientation val="minMax"/>
          <c:min val="1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</a:t>
            </a:r>
            <a:r>
              <a:rPr lang="en-US" baseline="0"/>
              <a:t> Grade Distrubution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Grades Dist.'!$A$12</c:f>
              <c:strCache>
                <c:ptCount val="1"/>
                <c:pt idx="0">
                  <c:v>I + 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0468696106353446E-2"/>
                  <c:y val="-7.1774471554502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23-4164-898D-2B3EDABED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'Log Grades Dist.'!$B$11:$D$11</c:f>
              <c:strCache>
                <c:ptCount val="3"/>
                <c:pt idx="0">
                  <c:v>scenario_base</c:v>
                </c:pt>
                <c:pt idx="1">
                  <c:v>scenario_l15h5</c:v>
                </c:pt>
                <c:pt idx="2">
                  <c:v>scenario_l20h0</c:v>
                </c:pt>
              </c:strCache>
            </c:strRef>
          </c:cat>
          <c:val>
            <c:numRef>
              <c:f>'Log Grades Dist.'!$B$12:$D$12</c:f>
              <c:numCache>
                <c:formatCode>0.0%</c:formatCode>
                <c:ptCount val="3"/>
                <c:pt idx="0">
                  <c:v>0.83706551792449524</c:v>
                </c:pt>
                <c:pt idx="1">
                  <c:v>0.84813754782368267</c:v>
                </c:pt>
                <c:pt idx="2">
                  <c:v>0.84733357547397059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3-4164-898D-2B3EDABEDD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3064464"/>
        <c:axId val="1463050544"/>
      </c:lineChart>
      <c:lineChart>
        <c:grouping val="standard"/>
        <c:varyColors val="0"/>
        <c:ser>
          <c:idx val="1"/>
          <c:order val="1"/>
          <c:tx>
            <c:strRef>
              <c:f>'Log Grades Dist.'!$A$13</c:f>
              <c:strCache>
                <c:ptCount val="1"/>
                <c:pt idx="0">
                  <c:v>U + X +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843609192155211E-2"/>
                  <c:y val="-7.17744715545026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23-4164-898D-2B3EDABED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'Log Grades Dist.'!$B$13:$D$13</c:f>
              <c:numCache>
                <c:formatCode>0.0%</c:formatCode>
                <c:ptCount val="3"/>
                <c:pt idx="0">
                  <c:v>0.16293448207550484</c:v>
                </c:pt>
                <c:pt idx="1">
                  <c:v>0.15186245217631744</c:v>
                </c:pt>
                <c:pt idx="2">
                  <c:v>0.15266642452602941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3-4164-898D-2B3EDABED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186688"/>
        <c:axId val="2000180448"/>
      </c:lineChart>
      <c:catAx>
        <c:axId val="14630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50544"/>
        <c:crosses val="autoZero"/>
        <c:auto val="1"/>
        <c:lblAlgn val="ctr"/>
        <c:lblOffset val="100"/>
        <c:noMultiLvlLbl val="0"/>
      </c:catAx>
      <c:valAx>
        <c:axId val="14630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64464"/>
        <c:crosses val="autoZero"/>
        <c:crossBetween val="between"/>
      </c:valAx>
      <c:valAx>
        <c:axId val="20001804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86688"/>
        <c:crosses val="max"/>
        <c:crossBetween val="between"/>
      </c:valAx>
      <c:catAx>
        <c:axId val="2000186688"/>
        <c:scaling>
          <c:orientation val="minMax"/>
        </c:scaling>
        <c:delete val="1"/>
        <c:axPos val="b"/>
        <c:majorTickMark val="out"/>
        <c:minorTickMark val="none"/>
        <c:tickLblPos val="nextTo"/>
        <c:crossAx val="20001804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'Vol. per Ha'!$A$6</c:f>
              <c:strCache>
                <c:ptCount val="1"/>
                <c:pt idx="0">
                  <c:v>CC Volume/ha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'Vol. per Ha'!$B$1:$D$1</c:f>
              <c:strCache>
                <c:ptCount val="3"/>
                <c:pt idx="0">
                  <c:v>scenario_base</c:v>
                </c:pt>
                <c:pt idx="1">
                  <c:v>scenario_l15h5</c:v>
                </c:pt>
                <c:pt idx="2">
                  <c:v>scenario_l20h0</c:v>
                </c:pt>
              </c:strCache>
            </c:strRef>
          </c:cat>
          <c:val>
            <c:numRef>
              <c:f>'Vol. per Ha'!$B$6:$D$6</c:f>
              <c:numCache>
                <c:formatCode>0.00</c:formatCode>
                <c:ptCount val="3"/>
                <c:pt idx="0">
                  <c:v>852.31625890697194</c:v>
                </c:pt>
                <c:pt idx="1">
                  <c:v>928.19996080703424</c:v>
                </c:pt>
                <c:pt idx="2">
                  <c:v>945.24197135448355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6-4E55-9560-7A8D0C24FC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8959680"/>
        <c:axId val="1998959200"/>
      </c:lineChart>
      <c:catAx>
        <c:axId val="19989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9200"/>
        <c:crosses val="autoZero"/>
        <c:auto val="1"/>
        <c:lblAlgn val="ctr"/>
        <c:lblOffset val="100"/>
        <c:noMultiLvlLbl val="0"/>
      </c:catAx>
      <c:valAx>
        <c:axId val="19989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'Vol. per Ha'!$A$13</c:f>
              <c:strCache>
                <c:ptCount val="1"/>
                <c:pt idx="0">
                  <c:v>I + J Volume/ha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'Vol. per Ha'!$B$10:$D$10</c:f>
              <c:strCache>
                <c:ptCount val="3"/>
                <c:pt idx="0">
                  <c:v>scenario_base</c:v>
                </c:pt>
                <c:pt idx="1">
                  <c:v>scenario_l15h5</c:v>
                </c:pt>
                <c:pt idx="2">
                  <c:v>scenario_l20h0</c:v>
                </c:pt>
              </c:strCache>
            </c:strRef>
          </c:cat>
          <c:val>
            <c:numRef>
              <c:f>'Vol. per Ha'!$B$13:$D$13</c:f>
              <c:numCache>
                <c:formatCode>General</c:formatCode>
                <c:ptCount val="3"/>
                <c:pt idx="0">
                  <c:v>507.31</c:v>
                </c:pt>
                <c:pt idx="1">
                  <c:v>515.20000000000005</c:v>
                </c:pt>
                <c:pt idx="2">
                  <c:v>530.47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D-4A93-A54C-9BADC1350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175056"/>
        <c:axId val="1833176496"/>
      </c:lineChart>
      <c:catAx>
        <c:axId val="18331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76496"/>
        <c:crosses val="autoZero"/>
        <c:auto val="1"/>
        <c:lblAlgn val="ctr"/>
        <c:lblOffset val="100"/>
        <c:noMultiLvlLbl val="0"/>
      </c:catAx>
      <c:valAx>
        <c:axId val="18331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'Log Value'!$A$4</c:f>
              <c:strCache>
                <c:ptCount val="1"/>
                <c:pt idx="0">
                  <c:v>CC revenue/ha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 Value'!$B$1:$D$1</c:f>
              <c:strCache>
                <c:ptCount val="3"/>
                <c:pt idx="0">
                  <c:v>scenario_base</c:v>
                </c:pt>
                <c:pt idx="1">
                  <c:v>scenario_l15h5</c:v>
                </c:pt>
                <c:pt idx="2">
                  <c:v>scenario_l20h0</c:v>
                </c:pt>
              </c:strCache>
            </c:strRef>
          </c:cat>
          <c:val>
            <c:numRef>
              <c:f>'Log Value'!$B$4:$D$4</c:f>
              <c:numCache>
                <c:formatCode>_("$"* #,##0.00_);_("$"* \(#,##0.00\);_("$"* "-"??_);_(@_)</c:formatCode>
                <c:ptCount val="3"/>
                <c:pt idx="0">
                  <c:v>134195.27586991459</c:v>
                </c:pt>
                <c:pt idx="1">
                  <c:v>145305.15123372638</c:v>
                </c:pt>
                <c:pt idx="2">
                  <c:v>146498.88302726351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5E-4273-BCF8-8B74627DE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174576"/>
        <c:axId val="1676596832"/>
      </c:lineChart>
      <c:catAx>
        <c:axId val="18331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96832"/>
        <c:crosses val="autoZero"/>
        <c:auto val="1"/>
        <c:lblAlgn val="ctr"/>
        <c:lblOffset val="100"/>
        <c:noMultiLvlLbl val="0"/>
      </c:catAx>
      <c:valAx>
        <c:axId val="16765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Revenue/</a:t>
                </a:r>
                <a:r>
                  <a:rPr lang="en-US" baseline="0"/>
                  <a:t>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548640</xdr:colOff>
      <xdr:row>6</xdr:row>
      <xdr:rowOff>121920</xdr:rowOff>
    </xdr:from>
    <xdr:to>
      <xdr:col>24</xdr:col>
      <xdr:colOff>457200</xdr:colOff>
      <xdr:row>21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2C5AC-E21B-D63D-D820-03D549413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917257</xdr:colOff>
      <xdr:row>8</xdr:row>
      <xdr:rowOff>48577</xdr:rowOff>
    </xdr:from>
    <xdr:to>
      <xdr:col>5</xdr:col>
      <xdr:colOff>44767</xdr:colOff>
      <xdr:row>23</xdr:row>
      <xdr:rowOff>69532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20F1BA-FD74-9148-6219-4E7230E03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898207</xdr:colOff>
      <xdr:row>15</xdr:row>
      <xdr:rowOff>56197</xdr:rowOff>
    </xdr:from>
    <xdr:to>
      <xdr:col>24</xdr:col>
      <xdr:colOff>267652</xdr:colOff>
      <xdr:row>30</xdr:row>
      <xdr:rowOff>84772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C32E23-81AD-4FE1-F038-DA3C7F154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</xdr:colOff>
      <xdr:row>3</xdr:row>
      <xdr:rowOff>29527</xdr:rowOff>
    </xdr:from>
    <xdr:to>
      <xdr:col>10</xdr:col>
      <xdr:colOff>187642</xdr:colOff>
      <xdr:row>18</xdr:row>
      <xdr:rowOff>46672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CCC509-0856-EB7D-C31E-1BCF65A75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275272</xdr:colOff>
      <xdr:row>5</xdr:row>
      <xdr:rowOff>126682</xdr:rowOff>
    </xdr:from>
    <xdr:to>
      <xdr:col>11</xdr:col>
      <xdr:colOff>553402</xdr:colOff>
      <xdr:row>20</xdr:row>
      <xdr:rowOff>155257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048820-4831-1090-BADE-3A69E50F5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296227</xdr:colOff>
      <xdr:row>21</xdr:row>
      <xdr:rowOff>58102</xdr:rowOff>
    </xdr:from>
    <xdr:to>
      <xdr:col>11</xdr:col>
      <xdr:colOff>574357</xdr:colOff>
      <xdr:row>36</xdr:row>
      <xdr:rowOff>86677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96982F-D095-5978-748F-55151C06B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479107</xdr:colOff>
      <xdr:row>1</xdr:row>
      <xdr:rowOff>37147</xdr:rowOff>
    </xdr:from>
    <xdr:to>
      <xdr:col>11</xdr:col>
      <xdr:colOff>332422</xdr:colOff>
      <xdr:row>16</xdr:row>
      <xdr:rowOff>69532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34E5E-7C24-E3EC-9272-CE28C1253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4D4F-E994-4B16-BF18-26671AC7A1AB}">
  <dimension ref="A1:X5"/>
  <sheetViews>
    <sheetView zoomScaleNormal="100" workbookViewId="0">
      <selection activeCell="H21" sqref="H21"/>
    </sheetView>
  </sheetViews>
  <sheetFormatPr defaultRowHeight="14.4" x14ac:dyDescent="0.3"/>
  <cols>
    <col min="1" max="1" width="19.109375" customWidth="1"/>
    <col min="2" max="4" width="14.44140625" customWidth="1"/>
    <col min="5" max="5" width="13.88671875" customWidth="1"/>
    <col min="7" max="7" width="20.77734375" customWidth="1"/>
    <col min="8" max="9" width="14.77734375" customWidth="1"/>
    <col min="10" max="10" width="14.33203125" customWidth="1"/>
    <col min="11" max="16" width="14.77734375" customWidth="1"/>
  </cols>
  <sheetData>
    <row r="1" spans="1:24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18</v>
      </c>
      <c r="V1" t="s">
        <v>0</v>
      </c>
      <c r="W1" t="s">
        <v>1</v>
      </c>
      <c r="X1" t="s">
        <v>2</v>
      </c>
    </row>
    <row r="2" spans="1:24" x14ac:dyDescent="0.3">
      <c r="A2" t="s">
        <v>20</v>
      </c>
      <c r="B2">
        <v>23.75</v>
      </c>
      <c r="C2">
        <v>24.68</v>
      </c>
      <c r="D2">
        <v>0.92</v>
      </c>
      <c r="E2">
        <v>25.01</v>
      </c>
      <c r="F2">
        <v>1.26</v>
      </c>
      <c r="H2" t="s">
        <v>24</v>
      </c>
      <c r="U2" t="s">
        <v>8</v>
      </c>
      <c r="V2">
        <v>24.154111109999999</v>
      </c>
      <c r="W2">
        <v>25.1112</v>
      </c>
      <c r="X2">
        <v>25.708923080000002</v>
      </c>
    </row>
    <row r="3" spans="1:24" x14ac:dyDescent="0.3">
      <c r="A3" t="s">
        <v>21</v>
      </c>
      <c r="B3">
        <v>24.62</v>
      </c>
      <c r="C3">
        <v>26.11</v>
      </c>
      <c r="D3">
        <v>1.49</v>
      </c>
      <c r="E3">
        <v>26.01</v>
      </c>
      <c r="F3">
        <v>1.39</v>
      </c>
      <c r="H3" t="s">
        <v>25</v>
      </c>
      <c r="U3" t="s">
        <v>9</v>
      </c>
      <c r="V3">
        <v>24.488666670000001</v>
      </c>
      <c r="W3">
        <v>26.41155556</v>
      </c>
      <c r="X3">
        <v>27.272923080000002</v>
      </c>
    </row>
    <row r="4" spans="1:24" x14ac:dyDescent="0.3">
      <c r="A4" t="s">
        <v>22</v>
      </c>
      <c r="B4">
        <v>28.39</v>
      </c>
      <c r="C4">
        <v>29.53</v>
      </c>
      <c r="D4">
        <v>1.1399999999999999</v>
      </c>
      <c r="E4">
        <v>29.34</v>
      </c>
      <c r="F4">
        <v>0.95</v>
      </c>
      <c r="H4" t="s">
        <v>26</v>
      </c>
      <c r="U4" t="s">
        <v>10</v>
      </c>
      <c r="V4">
        <v>28.090944440000001</v>
      </c>
      <c r="W4">
        <v>29.928611109999999</v>
      </c>
      <c r="X4">
        <v>29.608599999999999</v>
      </c>
    </row>
    <row r="5" spans="1:24" x14ac:dyDescent="0.3">
      <c r="A5" t="s">
        <v>23</v>
      </c>
      <c r="B5">
        <v>28.3</v>
      </c>
      <c r="C5">
        <v>29</v>
      </c>
      <c r="D5">
        <v>0.7</v>
      </c>
      <c r="E5">
        <v>29.86</v>
      </c>
      <c r="F5">
        <v>1.56</v>
      </c>
      <c r="H5" t="s">
        <v>27</v>
      </c>
      <c r="U5" t="s">
        <v>11</v>
      </c>
      <c r="V5">
        <v>28.056222219999999</v>
      </c>
      <c r="W5">
        <v>29.153600000000001</v>
      </c>
      <c r="X5">
        <v>30.236999999999998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484-E1B8-4884-9B11-65026BEF849F}">
  <dimension ref="A1:W13"/>
  <sheetViews>
    <sheetView workbookViewId="0">
      <selection activeCell="E28" sqref="E28"/>
    </sheetView>
  </sheetViews>
  <sheetFormatPr defaultRowHeight="14.4" x14ac:dyDescent="0.3"/>
  <cols>
    <col min="1" max="3" width="14.6640625" customWidth="1"/>
    <col min="4" max="4" width="15.33203125" customWidth="1"/>
    <col min="7" max="7" width="14.88671875" customWidth="1"/>
    <col min="8" max="10" width="16.44140625" customWidth="1"/>
    <col min="14" max="14" width="12.5546875" customWidth="1"/>
    <col min="15" max="17" width="13.77734375" customWidth="1"/>
  </cols>
  <sheetData>
    <row r="1" spans="1:23" x14ac:dyDescent="0.3">
      <c r="B1" t="s">
        <v>13</v>
      </c>
    </row>
    <row r="2" spans="1:23" x14ac:dyDescent="0.3">
      <c r="A2" t="s">
        <v>28</v>
      </c>
      <c r="B2" t="s">
        <v>0</v>
      </c>
      <c r="C2" t="s">
        <v>1</v>
      </c>
      <c r="D2" t="s">
        <v>2</v>
      </c>
      <c r="G2" t="s">
        <v>34</v>
      </c>
      <c r="N2" t="s">
        <v>12</v>
      </c>
      <c r="U2" t="s">
        <v>0</v>
      </c>
      <c r="V2" t="s">
        <v>1</v>
      </c>
      <c r="W2" t="s">
        <v>2</v>
      </c>
    </row>
    <row r="3" spans="1:23" x14ac:dyDescent="0.3">
      <c r="A3" t="s">
        <v>29</v>
      </c>
      <c r="B3" s="1">
        <f>N4/$N$9</f>
        <v>0.35717521660607465</v>
      </c>
      <c r="C3" s="1">
        <f>O4/$O$9</f>
        <v>0.36573743169118628</v>
      </c>
      <c r="D3" s="1">
        <f>P4/$P$9</f>
        <v>0.35215632339002806</v>
      </c>
      <c r="N3" t="s">
        <v>0</v>
      </c>
      <c r="O3" t="s">
        <v>1</v>
      </c>
      <c r="P3" t="s">
        <v>2</v>
      </c>
      <c r="T3" t="s">
        <v>3</v>
      </c>
      <c r="U3">
        <v>206158.73149999999</v>
      </c>
      <c r="V3">
        <v>205062.7574</v>
      </c>
      <c r="W3">
        <v>195391.1544</v>
      </c>
    </row>
    <row r="4" spans="1:23" x14ac:dyDescent="0.3">
      <c r="A4" t="s">
        <v>30</v>
      </c>
      <c r="B4" s="1">
        <f>N5/$N$9</f>
        <v>0.47989030131842053</v>
      </c>
      <c r="C4" s="1">
        <f>O5/$O$9</f>
        <v>0.48240011613249639</v>
      </c>
      <c r="D4" s="1">
        <f>P5/$P$9</f>
        <v>0.49517725208394248</v>
      </c>
      <c r="M4" t="s">
        <v>3</v>
      </c>
      <c r="N4">
        <v>269252.64319999999</v>
      </c>
      <c r="O4">
        <v>260753.1845</v>
      </c>
      <c r="P4">
        <v>259229.77929999999</v>
      </c>
      <c r="T4" t="s">
        <v>4</v>
      </c>
      <c r="U4">
        <v>269645.38199999998</v>
      </c>
      <c r="V4">
        <v>249333.89170000001</v>
      </c>
      <c r="W4">
        <v>265466.9645</v>
      </c>
    </row>
    <row r="5" spans="1:23" x14ac:dyDescent="0.3">
      <c r="A5" t="s">
        <v>31</v>
      </c>
      <c r="B5" s="1">
        <f>N6/$N$9</f>
        <v>0.11085651995910996</v>
      </c>
      <c r="C5" s="1">
        <f>O6/$O$9</f>
        <v>0.10463549676523233</v>
      </c>
      <c r="D5" s="1">
        <f>P6/$P$9</f>
        <v>0.10467590881717148</v>
      </c>
      <c r="M5" t="s">
        <v>4</v>
      </c>
      <c r="N5">
        <v>361760.07199999999</v>
      </c>
      <c r="O5">
        <v>343928.06310000003</v>
      </c>
      <c r="P5">
        <v>364510.53480000002</v>
      </c>
      <c r="T5" t="s">
        <v>5</v>
      </c>
      <c r="U5">
        <v>62651.777990000002</v>
      </c>
      <c r="V5">
        <v>54281.38293</v>
      </c>
      <c r="W5">
        <v>55675.568809999997</v>
      </c>
    </row>
    <row r="6" spans="1:23" x14ac:dyDescent="0.3">
      <c r="A6" t="s">
        <v>32</v>
      </c>
      <c r="B6" s="1">
        <f>N7/$N$9</f>
        <v>2.3291660038585585E-2</v>
      </c>
      <c r="C6" s="1">
        <f>O7/$O$9</f>
        <v>2.1113940101064016E-2</v>
      </c>
      <c r="D6" s="1">
        <f>P7/$P$9</f>
        <v>2.2287698301806661E-2</v>
      </c>
      <c r="M6" t="s">
        <v>5</v>
      </c>
      <c r="N6">
        <v>83567.979040000006</v>
      </c>
      <c r="O6">
        <v>74600.072700000004</v>
      </c>
      <c r="P6">
        <v>77054.168669999999</v>
      </c>
      <c r="T6" t="s">
        <v>6</v>
      </c>
      <c r="U6">
        <v>13071.174999999999</v>
      </c>
      <c r="V6">
        <v>10706.239</v>
      </c>
      <c r="W6">
        <v>11553.460999999999</v>
      </c>
    </row>
    <row r="7" spans="1:23" x14ac:dyDescent="0.3">
      <c r="A7" t="s">
        <v>33</v>
      </c>
      <c r="B7" s="1">
        <f>N8/$N$9</f>
        <v>2.8786302077809304E-2</v>
      </c>
      <c r="C7" s="1">
        <f>O8/$O$9</f>
        <v>2.6113015310021078E-2</v>
      </c>
      <c r="D7" s="1">
        <f>P8/$P$9</f>
        <v>2.570281740705127E-2</v>
      </c>
      <c r="M7" t="s">
        <v>6</v>
      </c>
      <c r="N7">
        <v>17558.164000000001</v>
      </c>
      <c r="O7">
        <v>15053.223</v>
      </c>
      <c r="P7">
        <v>16406.45</v>
      </c>
      <c r="T7" t="s">
        <v>7</v>
      </c>
      <c r="U7">
        <v>16490.728999999999</v>
      </c>
      <c r="V7">
        <v>14087.177</v>
      </c>
      <c r="W7">
        <v>13672.844999999999</v>
      </c>
    </row>
    <row r="8" spans="1:23" x14ac:dyDescent="0.3">
      <c r="M8" t="s">
        <v>7</v>
      </c>
      <c r="N8">
        <v>21700.240000000002</v>
      </c>
      <c r="O8">
        <v>18617.323</v>
      </c>
      <c r="P8">
        <v>18920.392</v>
      </c>
    </row>
    <row r="9" spans="1:23" x14ac:dyDescent="0.3">
      <c r="M9" t="s">
        <v>14</v>
      </c>
      <c r="N9">
        <f>SUM(N4:N8)</f>
        <v>753839.09823999996</v>
      </c>
      <c r="O9">
        <f t="shared" ref="O9:P9" si="0">SUM(O4:O8)</f>
        <v>712951.86629999999</v>
      </c>
      <c r="P9">
        <f t="shared" si="0"/>
        <v>736121.32477000006</v>
      </c>
    </row>
    <row r="11" spans="1:23" x14ac:dyDescent="0.3">
      <c r="A11" t="s">
        <v>28</v>
      </c>
      <c r="B11" t="s">
        <v>0</v>
      </c>
      <c r="C11" t="s">
        <v>1</v>
      </c>
      <c r="D11" t="s">
        <v>2</v>
      </c>
    </row>
    <row r="12" spans="1:23" x14ac:dyDescent="0.3">
      <c r="A12" t="s">
        <v>35</v>
      </c>
      <c r="B12" s="4">
        <f>SUM(B3:B4)</f>
        <v>0.83706551792449524</v>
      </c>
      <c r="C12" s="4">
        <f>SUM(C3:C4)</f>
        <v>0.84813754782368267</v>
      </c>
      <c r="D12" s="4">
        <f>SUM(D3:D4)</f>
        <v>0.84733357547397059</v>
      </c>
    </row>
    <row r="13" spans="1:23" x14ac:dyDescent="0.3">
      <c r="A13" t="s">
        <v>36</v>
      </c>
      <c r="B13" s="4">
        <f>SUM(B5:B7)</f>
        <v>0.16293448207550484</v>
      </c>
      <c r="C13" s="4">
        <f>SUM(C5:C7)</f>
        <v>0.15186245217631744</v>
      </c>
      <c r="D13" s="4">
        <f>SUM(D5:D7)</f>
        <v>0.15266642452602941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F289-B94E-4D17-B892-004577DF99B7}">
  <dimension ref="A1:F14"/>
  <sheetViews>
    <sheetView workbookViewId="0">
      <selection activeCell="R2" sqref="R2"/>
    </sheetView>
  </sheetViews>
  <sheetFormatPr defaultRowHeight="14.4" x14ac:dyDescent="0.3"/>
  <cols>
    <col min="1" max="1" width="21.21875" customWidth="1"/>
    <col min="2" max="4" width="15.88671875" customWidth="1"/>
    <col min="7" max="7" width="13.88671875" customWidth="1"/>
    <col min="8" max="8" width="13.21875" customWidth="1"/>
  </cols>
  <sheetData>
    <row r="1" spans="1:6" x14ac:dyDescent="0.3">
      <c r="A1" t="s">
        <v>37</v>
      </c>
      <c r="B1" t="s">
        <v>0</v>
      </c>
      <c r="C1" t="s">
        <v>1</v>
      </c>
      <c r="D1" t="s">
        <v>2</v>
      </c>
    </row>
    <row r="2" spans="1:6" x14ac:dyDescent="0.3">
      <c r="A2" t="s">
        <v>38</v>
      </c>
      <c r="B2" s="2">
        <v>1060135.68</v>
      </c>
      <c r="C2" s="6">
        <v>1089409.73</v>
      </c>
      <c r="D2" s="6">
        <v>1111435.3600000001</v>
      </c>
      <c r="F2" t="s">
        <v>45</v>
      </c>
    </row>
    <row r="3" spans="1:6" x14ac:dyDescent="0.3">
      <c r="A3" t="s">
        <v>39</v>
      </c>
      <c r="B3" s="5"/>
      <c r="C3" s="6">
        <v>30057.56</v>
      </c>
      <c r="D3" s="6">
        <v>45339.47</v>
      </c>
    </row>
    <row r="4" spans="1:6" x14ac:dyDescent="0.3">
      <c r="A4" t="s">
        <v>40</v>
      </c>
      <c r="B4" s="6">
        <v>1243.829</v>
      </c>
      <c r="C4" s="6">
        <v>1173.68</v>
      </c>
      <c r="D4" s="6">
        <v>1175.8209999999999</v>
      </c>
    </row>
    <row r="5" spans="1:6" x14ac:dyDescent="0.3">
      <c r="A5" t="s">
        <v>41</v>
      </c>
      <c r="B5" s="5"/>
      <c r="C5" s="5">
        <v>640.71299999999997</v>
      </c>
      <c r="D5" s="5">
        <v>620.846</v>
      </c>
      <c r="F5" t="s">
        <v>44</v>
      </c>
    </row>
    <row r="6" spans="1:6" x14ac:dyDescent="0.3">
      <c r="A6" t="s">
        <v>42</v>
      </c>
      <c r="B6" s="3">
        <f>B2/B4</f>
        <v>852.31625890697194</v>
      </c>
      <c r="C6" s="3">
        <f t="shared" ref="C6:D6" si="0">C2/C4</f>
        <v>928.19996080703424</v>
      </c>
      <c r="D6" s="3">
        <f t="shared" si="0"/>
        <v>945.24197135448355</v>
      </c>
    </row>
    <row r="7" spans="1:6" x14ac:dyDescent="0.3">
      <c r="A7" t="s">
        <v>43</v>
      </c>
      <c r="B7" s="3"/>
      <c r="C7" s="3">
        <f t="shared" ref="C7:D7" si="1">C3/C5</f>
        <v>46.912673849289781</v>
      </c>
      <c r="D7" s="3">
        <f t="shared" si="1"/>
        <v>73.028528813908764</v>
      </c>
    </row>
    <row r="10" spans="1:6" x14ac:dyDescent="0.3">
      <c r="B10" t="s">
        <v>0</v>
      </c>
      <c r="C10" t="s">
        <v>1</v>
      </c>
      <c r="D10" t="s">
        <v>2</v>
      </c>
    </row>
    <row r="11" spans="1:6" x14ac:dyDescent="0.3">
      <c r="A11" t="s">
        <v>48</v>
      </c>
      <c r="B11" s="6">
        <v>631012.72</v>
      </c>
      <c r="C11" s="6">
        <v>604681.25</v>
      </c>
      <c r="D11" s="6">
        <v>623740.31000000006</v>
      </c>
    </row>
    <row r="12" spans="1:6" x14ac:dyDescent="0.3">
      <c r="A12" t="s">
        <v>49</v>
      </c>
      <c r="B12" s="6">
        <v>1243.829</v>
      </c>
      <c r="C12" s="6">
        <v>1173.68</v>
      </c>
      <c r="D12" s="6">
        <v>1175.8209999999999</v>
      </c>
    </row>
    <row r="13" spans="1:6" x14ac:dyDescent="0.3">
      <c r="A13" t="s">
        <v>50</v>
      </c>
      <c r="B13" s="5">
        <v>507.31</v>
      </c>
      <c r="C13" s="5">
        <v>515.20000000000005</v>
      </c>
      <c r="D13" s="5">
        <v>530.47</v>
      </c>
    </row>
    <row r="14" spans="1:6" x14ac:dyDescent="0.3">
      <c r="A14" t="s">
        <v>46</v>
      </c>
      <c r="B14" s="5" t="s">
        <v>47</v>
      </c>
      <c r="C14" s="5">
        <v>7.89</v>
      </c>
      <c r="D14" s="5">
        <v>23.15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E4A7-937F-4183-960F-CF9ED168B0CD}">
  <dimension ref="A1:D23"/>
  <sheetViews>
    <sheetView tabSelected="1" workbookViewId="0">
      <selection activeCell="B29" sqref="B29"/>
    </sheetView>
  </sheetViews>
  <sheetFormatPr defaultRowHeight="14.4" x14ac:dyDescent="0.3"/>
  <cols>
    <col min="1" max="1" width="16" customWidth="1"/>
    <col min="2" max="2" width="17.88671875" customWidth="1"/>
    <col min="3" max="3" width="16.33203125" customWidth="1"/>
    <col min="4" max="4" width="17.6640625" customWidth="1"/>
    <col min="11" max="14" width="15.441406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51</v>
      </c>
      <c r="B2" s="2">
        <v>166915975.78999999</v>
      </c>
      <c r="C2" s="2">
        <v>170541749.90000001</v>
      </c>
      <c r="D2" s="2">
        <v>172256463.13999999</v>
      </c>
    </row>
    <row r="3" spans="1:4" x14ac:dyDescent="0.3">
      <c r="A3" t="s">
        <v>52</v>
      </c>
      <c r="B3" s="6">
        <v>1243.829</v>
      </c>
      <c r="C3" s="6">
        <v>1173.68</v>
      </c>
      <c r="D3" s="6">
        <v>1175.8209999999999</v>
      </c>
    </row>
    <row r="4" spans="1:4" x14ac:dyDescent="0.3">
      <c r="A4" t="s">
        <v>53</v>
      </c>
      <c r="B4" s="8">
        <f>B2/B3</f>
        <v>134195.27586991459</v>
      </c>
      <c r="C4" s="8">
        <f>C2/C3</f>
        <v>145305.15123372638</v>
      </c>
      <c r="D4" s="8">
        <f t="shared" ref="C4:D4" si="0">D2/D3</f>
        <v>146498.88302726351</v>
      </c>
    </row>
    <row r="6" spans="1:4" x14ac:dyDescent="0.3">
      <c r="A6" s="7" t="s">
        <v>54</v>
      </c>
      <c r="B6" s="8"/>
      <c r="C6" s="2">
        <v>3040707.22</v>
      </c>
      <c r="D6" s="12">
        <v>4621824.8899999997</v>
      </c>
    </row>
    <row r="7" spans="1:4" x14ac:dyDescent="0.3">
      <c r="A7" s="7" t="s">
        <v>55</v>
      </c>
      <c r="B7" s="5"/>
      <c r="C7" s="5">
        <v>640.71299999999997</v>
      </c>
      <c r="D7" s="5">
        <v>620.846</v>
      </c>
    </row>
    <row r="8" spans="1:4" x14ac:dyDescent="0.3">
      <c r="A8" t="s">
        <v>56</v>
      </c>
      <c r="B8" s="5"/>
      <c r="C8" s="8">
        <f>C6/C7</f>
        <v>4745.8178935030201</v>
      </c>
      <c r="D8" s="8">
        <f>D6/D7</f>
        <v>7444.3982726795366</v>
      </c>
    </row>
    <row r="12" spans="1:4" x14ac:dyDescent="0.3">
      <c r="A12" t="s">
        <v>57</v>
      </c>
      <c r="B12" s="10">
        <f>B2/'Vol. per Ha'!B2</f>
        <v>157.44774837688701</v>
      </c>
      <c r="C12" s="11">
        <f>C2/'Vol. per Ha'!C2</f>
        <v>156.54509520490515</v>
      </c>
      <c r="D12" s="11">
        <f>D2/'Vol. per Ha'!D2</f>
        <v>154.98558831167651</v>
      </c>
    </row>
    <row r="13" spans="1:4" x14ac:dyDescent="0.3">
      <c r="A13" t="s">
        <v>58</v>
      </c>
      <c r="C13" s="9">
        <f>C6/'Vol. per Ha'!C3</f>
        <v>101.1628096226041</v>
      </c>
      <c r="D13" s="9">
        <f>D6/'Vol. per Ha'!D3</f>
        <v>101.93822049529912</v>
      </c>
    </row>
    <row r="19" spans="2:3" x14ac:dyDescent="0.3">
      <c r="B19" t="s">
        <v>67</v>
      </c>
    </row>
    <row r="20" spans="2:3" x14ac:dyDescent="0.3">
      <c r="B20" t="s">
        <v>63</v>
      </c>
      <c r="C20" t="s">
        <v>62</v>
      </c>
    </row>
    <row r="21" spans="2:3" x14ac:dyDescent="0.3">
      <c r="B21" t="s">
        <v>64</v>
      </c>
      <c r="C21" t="s">
        <v>59</v>
      </c>
    </row>
    <row r="22" spans="2:3" x14ac:dyDescent="0.3">
      <c r="B22" t="s">
        <v>65</v>
      </c>
      <c r="C22" t="s">
        <v>60</v>
      </c>
    </row>
    <row r="23" spans="2:3" x14ac:dyDescent="0.3">
      <c r="B23" t="s">
        <v>66</v>
      </c>
      <c r="C23" t="s">
        <v>61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QMD</vt:lpstr>
      <vt:lpstr>Log Grades Dist.</vt:lpstr>
      <vt:lpstr>Vol. per Ha</vt:lpstr>
      <vt:lpstr>Log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boyd01@student.ubc.ca</dc:creator>
  <cp:lastModifiedBy>boyd01@student.ubc.ca</cp:lastModifiedBy>
  <dcterms:created xsi:type="dcterms:W3CDTF">2026-04-04T18:43:21Z</dcterms:created>
  <dcterms:modified xsi:type="dcterms:W3CDTF">2026-04-05T18:42:56Z</dcterms:modified>
</cp:coreProperties>
</file>